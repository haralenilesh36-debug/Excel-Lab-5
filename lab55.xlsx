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<sst xmlns="http://schemas.openxmlformats.org/spreadsheetml/2006/main" count="47" uniqueCount="29">
  <si>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Student</t>
  </si>
  <si>
    <t>Marks</t>
  </si>
  <si>
    <t>Attendance %</t>
  </si>
  <si>
    <t>Assignment Submitted</t>
  </si>
  <si>
    <t>Fee Paid</t>
  </si>
  <si>
    <t>AND1</t>
  </si>
  <si>
    <t>IF1</t>
  </si>
  <si>
    <t>AND2</t>
  </si>
  <si>
    <t>OR1</t>
  </si>
  <si>
    <t>AND3</t>
  </si>
  <si>
    <t>OR2</t>
  </si>
  <si>
    <t>AND4</t>
  </si>
  <si>
    <t>NOT1</t>
  </si>
  <si>
    <t>NOT2</t>
  </si>
  <si>
    <t>Nested IF1</t>
  </si>
  <si>
    <t>Nested IF2</t>
  </si>
  <si>
    <t>IFERROR1</t>
  </si>
  <si>
    <t>Aditi</t>
  </si>
  <si>
    <t>Yes</t>
  </si>
  <si>
    <t>Rahul</t>
  </si>
  <si>
    <t>Sneha</t>
  </si>
  <si>
    <t>No</t>
  </si>
  <si>
    <t>Amit</t>
  </si>
  <si>
    <t>Priya</t>
  </si>
  <si>
    <t>Karan</t>
  </si>
  <si>
    <t>Neha</t>
  </si>
  <si>
    <t>Rohan</t>
  </si>
  <si>
    <t>Pooja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</si>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</sst>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4">
    <dxf>
      <alignment wrapText="1"/>
    </dxf>
    <dxf>
      <alignment horizontal="right" wrapText="1"/>
    </dxf>
    <dxf>
      <alignment horizontal="right" wrapText="1"/>
    </dxf>
    <dxf>
      <alignment wrapText="1"/>
    </dxf>
    <dxf>
      <alignment wrapText="1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 wrapText="1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numFmt numFmtId="0" formatCode="General"/>
      <fill>
        <patternFill patternType="solid">
          <bgColor theme="4" tint="0.8"/>
        </patternFill>
      </fill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Q11" totalsRowShown="0">
  <autoFilter xmlns:etc="http://www.wps.cn/officeDocument/2017/etCustomData" ref="A1:Q11" etc:filterBottomFollowUsedRange="0"/>
  <tableColumns count="17">
    <tableColumn id="1" name="Student" dataDxfId="0"/>
    <tableColumn id="2" name="Marks" dataDxfId="1"/>
    <tableColumn id="3" name="Attendance %" dataDxfId="2"/>
    <tableColumn id="4" name="Assignment Submitted" dataDxfId="3"/>
    <tableColumn id="5" name="Fee Paid" dataDxfId="4"/>
    <tableColumn id="7" name="AND1" dataDxfId="5">
      <calculatedColumnFormula>IF(AND(B2&gt;80,C2&gt;75),"al","dn")</calculatedColumnFormula>
    </tableColumn>
    <tableColumn id="6" name="IF1" dataDxfId="6">
      <calculatedColumnFormula>IF(D2&gt;85,"Pass","fail")</calculatedColumnFormula>
    </tableColumn>
    <tableColumn id="8" name="AND2" dataDxfId="7">
      <calculatedColumnFormula>IF(AND(D2="YES",E2="yES"),"ALLOW","DNT")</calculatedColumnFormula>
    </tableColumn>
    <tableColumn id="9" name="OR1" dataDxfId="8">
      <calculatedColumnFormula>IF(OR(C2&gt;75,D2="YES"),"ALLOW","DNT")</calculatedColumnFormula>
    </tableColumn>
    <tableColumn id="10" name="AND3" dataDxfId="9">
      <calculatedColumnFormula>IF(AND(A2="Aditi",A2="Neha",B2&gt;80),"good","not listed")</calculatedColumnFormula>
    </tableColumn>
    <tableColumn id="11" name="OR2" dataDxfId="10">
      <calculatedColumnFormula>IF(OR(A2="Aditi",A2="Neha",B2&gt;80),"Good","Not listed")</calculatedColumnFormula>
    </tableColumn>
    <tableColumn id="12" name="AND4" dataDxfId="11">
      <calculatedColumnFormula>IF(AND(A5="Amit",B5&gt;=50,C5&gt;=75),"yes","allow")</calculatedColumnFormula>
    </tableColumn>
    <tableColumn id="13" name="NOT1" dataDxfId="12">
      <calculatedColumnFormula>IF(NOT(D2="Yes"),"Not allow","Allow")</calculatedColumnFormula>
    </tableColumn>
    <tableColumn id="14" name="NOT2" dataDxfId="13">
      <calculatedColumnFormula>IF(NOT(D2="No"),"Not allow","Allow")</calculatedColumnFormula>
    </tableColumn>
    <tableColumn id="15" name="Nested IF1" dataDxfId="14">
      <calculatedColumnFormula>IF(B2&gt;90,"A",IF(B2&gt;78,"B","C"))</calculatedColumnFormula>
    </tableColumn>
    <tableColumn id="16" name="Nested IF2" dataDxfId="15">
      <calculatedColumnFormula>IF(B2&gt;90,"A",IF(B2&gt;80,"B",IF(B2&gt;70,"C",IF(B2&gt;60,"D",IF(B2&gt;50,"E","FAIL")))))</calculatedColumnFormula>
    </tableColumn>
    <tableColumn id="17" name="IFERROR1" dataDxfId="16">
      <calculatedColumnFormula>IFERROR(IF(AND(D2="Yes",E2="Yes"),"allow","dnt"),"error")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workbookViewId="0">
      <selection activeCell="G18" sqref="G18"/>
    </sheetView>
  </sheetViews>
  <sheetFormatPr defaultColWidth="8.88571428571429" defaultRowHeight="15"/>
  <cols>
    <col min="3" max="3" width="13.3333333333333" customWidth="1"/>
    <col min="4" max="4" width="20.3333333333333" customWidth="1"/>
    <col min="5" max="5" width="19.3333333333333" customWidth="1"/>
    <col min="8" max="8" width="9"/>
    <col min="10" max="10" width="10" customWidth="1"/>
    <col min="11" max="11" width="10.2857142857143" customWidth="1"/>
    <col min="12" max="12" width="6.57142857142857" customWidth="1"/>
    <col min="13" max="14" width="10.1428571428571" customWidth="1"/>
    <col min="15" max="16" width="11.1428571428571" customWidth="1"/>
  </cols>
  <sheetData>
    <row r="1" ht="30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5" t="s">
        <v>17</v>
      </c>
      <c r="B2" s="6">
        <v>85</v>
      </c>
      <c r="C2" s="6">
        <v>92</v>
      </c>
      <c r="D2" s="5" t="s">
        <v>18</v>
      </c>
      <c r="E2" s="5" t="s">
        <v>18</v>
      </c>
      <c r="F2" s="7" t="str">
        <f t="shared" ref="F2:F11" si="0">IF(AND(B2&gt;80,C2&gt;75),"al","dn")</f>
        <v>al</v>
      </c>
      <c r="G2" s="7" t="str">
        <f t="shared" ref="G2:G11" si="1">IF(C2&gt;85,"Pass","fail")</f>
        <v>Pass</v>
      </c>
      <c r="H2" s="8" t="str">
        <f t="shared" ref="H2:H11" si="2">IF(AND(D2="YES",E2="yES"),"ALLOW","DNT")</f>
        <v>ALLOW</v>
      </c>
      <c r="I2" s="8" t="str">
        <f t="shared" ref="I2:I11" si="3">IF(OR(C2&gt;75,D2="YES"),"ALLOW","DNT")</f>
        <v>ALLOW</v>
      </c>
      <c r="J2" s="8" t="str">
        <f t="shared" ref="J2:J11" si="4">IF(AND(A2="Aditi",A2="Neha",B2&gt;80),"good","not listed")</f>
        <v>not listed</v>
      </c>
      <c r="K2" s="8" t="str">
        <f t="shared" ref="K2:K11" si="5">IF(OR(A2="Aditi",A2="Neha",B2&gt;80),"Good","Not listed")</f>
        <v>Good</v>
      </c>
      <c r="L2" s="8" t="str">
        <f t="shared" ref="L2:L11" si="6">IF(AND(A5="Amit",B5&gt;=50,C5&gt;=75),"yes","allow")</f>
        <v>allow</v>
      </c>
      <c r="M2" s="8" t="str">
        <f t="shared" ref="M2:M11" si="7">IF(NOT(D2="Yes"),"Not allow","Allow")</f>
        <v>Allow</v>
      </c>
      <c r="N2" s="8" t="str">
        <f t="shared" ref="N2:N11" si="8">IF(NOT(D2="No"),"Not allow","Allow")</f>
        <v>Not allow</v>
      </c>
      <c r="O2" s="8" t="str">
        <f t="shared" ref="O2:O11" si="9">IF(B2&gt;90,"A",IF(B2&gt;78,"B","C"))</f>
        <v>B</v>
      </c>
      <c r="P2" s="8" t="str">
        <f t="shared" ref="P2:P11" si="10">IF(B2&gt;90,"A",IF(B2&gt;80,"B",IF(B2&gt;70,"C",IF(B2&gt;60,"D",IF(B2&gt;50,"E","FAIL")))))</f>
        <v>B</v>
      </c>
      <c r="Q2" s="8" t="str">
        <f t="shared" ref="Q2:Q11" si="11">IFERROR(IF(AND(D2="Yes",E2="Yes"),"allow","dnt"),"error")</f>
        <v>allow</v>
      </c>
    </row>
    <row r="3" spans="1:17">
      <c r="A3" s="5" t="s">
        <v>19</v>
      </c>
      <c r="B3" s="6">
        <v>72</v>
      </c>
      <c r="C3" s="6">
        <v>88</v>
      </c>
      <c r="D3" s="5" t="s">
        <v>18</v>
      </c>
      <c r="E3" s="5" t="s">
        <v>18</v>
      </c>
      <c r="F3" s="7" t="str">
        <f t="shared" si="0"/>
        <v>dn</v>
      </c>
      <c r="G3" s="7" t="str">
        <f t="shared" si="1"/>
        <v>Pass</v>
      </c>
      <c r="H3" s="8" t="str">
        <f t="shared" si="2"/>
        <v>ALLOW</v>
      </c>
      <c r="I3" s="8" t="str">
        <f t="shared" si="3"/>
        <v>ALLOW</v>
      </c>
      <c r="J3" s="8" t="str">
        <f t="shared" si="4"/>
        <v>not listed</v>
      </c>
      <c r="K3" s="8" t="str">
        <f t="shared" si="5"/>
        <v>Not listed</v>
      </c>
      <c r="L3" s="8" t="str">
        <f t="shared" si="6"/>
        <v>allow</v>
      </c>
      <c r="M3" s="8" t="str">
        <f t="shared" si="7"/>
        <v>Allow</v>
      </c>
      <c r="N3" s="8" t="str">
        <f t="shared" si="8"/>
        <v>Not allow</v>
      </c>
      <c r="O3" s="8" t="str">
        <f t="shared" si="9"/>
        <v>C</v>
      </c>
      <c r="P3" s="8" t="str">
        <f t="shared" si="10"/>
        <v>C</v>
      </c>
      <c r="Q3" s="8" t="str">
        <f t="shared" si="11"/>
        <v>allow</v>
      </c>
    </row>
    <row r="4" spans="1:17">
      <c r="A4" s="5" t="s">
        <v>20</v>
      </c>
      <c r="B4" s="6">
        <v>45</v>
      </c>
      <c r="C4" s="6">
        <v>78</v>
      </c>
      <c r="D4" s="5" t="s">
        <v>21</v>
      </c>
      <c r="E4" s="5" t="s">
        <v>18</v>
      </c>
      <c r="F4" s="7" t="str">
        <f t="shared" si="0"/>
        <v>dn</v>
      </c>
      <c r="G4" s="7" t="str">
        <f t="shared" si="1"/>
        <v>fail</v>
      </c>
      <c r="H4" s="8" t="str">
        <f t="shared" si="2"/>
        <v>DNT</v>
      </c>
      <c r="I4" s="8" t="str">
        <f t="shared" si="3"/>
        <v>ALLOW</v>
      </c>
      <c r="J4" s="8" t="str">
        <f t="shared" si="4"/>
        <v>not listed</v>
      </c>
      <c r="K4" s="8" t="str">
        <f t="shared" si="5"/>
        <v>Not listed</v>
      </c>
      <c r="L4" s="8" t="str">
        <f t="shared" si="6"/>
        <v>allow</v>
      </c>
      <c r="M4" s="8" t="str">
        <f t="shared" si="7"/>
        <v>Not allow</v>
      </c>
      <c r="N4" s="8" t="str">
        <f t="shared" si="8"/>
        <v>Allow</v>
      </c>
      <c r="O4" s="8" t="str">
        <f t="shared" si="9"/>
        <v>C</v>
      </c>
      <c r="P4" s="8" t="str">
        <f t="shared" si="10"/>
        <v>FAIL</v>
      </c>
      <c r="Q4" s="8" t="str">
        <f t="shared" si="11"/>
        <v>dnt</v>
      </c>
    </row>
    <row r="5" spans="1:17">
      <c r="A5" s="5" t="s">
        <v>22</v>
      </c>
      <c r="B5" s="6">
        <v>32</v>
      </c>
      <c r="C5" s="6">
        <v>65</v>
      </c>
      <c r="D5" s="5" t="s">
        <v>18</v>
      </c>
      <c r="E5" s="5" t="s">
        <v>21</v>
      </c>
      <c r="F5" s="7" t="str">
        <f t="shared" si="0"/>
        <v>dn</v>
      </c>
      <c r="G5" s="7" t="str">
        <f t="shared" si="1"/>
        <v>fail</v>
      </c>
      <c r="H5" s="8" t="str">
        <f t="shared" si="2"/>
        <v>DNT</v>
      </c>
      <c r="I5" s="8" t="str">
        <f t="shared" si="3"/>
        <v>ALLOW</v>
      </c>
      <c r="J5" s="8" t="str">
        <f t="shared" si="4"/>
        <v>not listed</v>
      </c>
      <c r="K5" s="8" t="str">
        <f t="shared" si="5"/>
        <v>Not listed</v>
      </c>
      <c r="L5" s="8" t="str">
        <f t="shared" si="6"/>
        <v>allow</v>
      </c>
      <c r="M5" s="8" t="str">
        <f t="shared" si="7"/>
        <v>Allow</v>
      </c>
      <c r="N5" s="8" t="str">
        <f t="shared" si="8"/>
        <v>Not allow</v>
      </c>
      <c r="O5" s="8" t="str">
        <f t="shared" si="9"/>
        <v>C</v>
      </c>
      <c r="P5" s="8" t="str">
        <f t="shared" si="10"/>
        <v>FAIL</v>
      </c>
      <c r="Q5" s="8" t="str">
        <f t="shared" si="11"/>
        <v>dnt</v>
      </c>
    </row>
    <row r="6" spans="1:17">
      <c r="A6" s="5" t="s">
        <v>23</v>
      </c>
      <c r="B6" s="6">
        <v>91</v>
      </c>
      <c r="C6" s="6">
        <v>95</v>
      </c>
      <c r="D6" s="5" t="s">
        <v>18</v>
      </c>
      <c r="E6" s="5" t="s">
        <v>18</v>
      </c>
      <c r="F6" s="7" t="str">
        <f t="shared" si="0"/>
        <v>al</v>
      </c>
      <c r="G6" s="7" t="str">
        <f t="shared" si="1"/>
        <v>Pass</v>
      </c>
      <c r="H6" s="8" t="str">
        <f t="shared" si="2"/>
        <v>ALLOW</v>
      </c>
      <c r="I6" s="8" t="str">
        <f t="shared" si="3"/>
        <v>ALLOW</v>
      </c>
      <c r="J6" s="8" t="str">
        <f t="shared" si="4"/>
        <v>not listed</v>
      </c>
      <c r="K6" s="8" t="str">
        <f t="shared" si="5"/>
        <v>Good</v>
      </c>
      <c r="L6" s="8" t="str">
        <f t="shared" si="6"/>
        <v>allow</v>
      </c>
      <c r="M6" s="8" t="str">
        <f t="shared" si="7"/>
        <v>Allow</v>
      </c>
      <c r="N6" s="8" t="str">
        <f t="shared" si="8"/>
        <v>Not allow</v>
      </c>
      <c r="O6" s="8" t="str">
        <f t="shared" si="9"/>
        <v>A</v>
      </c>
      <c r="P6" s="8" t="str">
        <f t="shared" si="10"/>
        <v>A</v>
      </c>
      <c r="Q6" s="8" t="str">
        <f t="shared" si="11"/>
        <v>allow</v>
      </c>
    </row>
    <row r="7" spans="1:17">
      <c r="A7" s="5" t="s">
        <v>24</v>
      </c>
      <c r="B7" s="6">
        <v>58</v>
      </c>
      <c r="C7" s="6">
        <v>82</v>
      </c>
      <c r="D7" s="5" t="s">
        <v>21</v>
      </c>
      <c r="E7" s="5" t="s">
        <v>18</v>
      </c>
      <c r="F7" s="7" t="str">
        <f t="shared" si="0"/>
        <v>dn</v>
      </c>
      <c r="G7" s="7" t="str">
        <f t="shared" si="1"/>
        <v>fail</v>
      </c>
      <c r="H7" s="8" t="str">
        <f t="shared" si="2"/>
        <v>DNT</v>
      </c>
      <c r="I7" s="8" t="str">
        <f t="shared" si="3"/>
        <v>ALLOW</v>
      </c>
      <c r="J7" s="8" t="str">
        <f t="shared" si="4"/>
        <v>not listed</v>
      </c>
      <c r="K7" s="8" t="str">
        <f t="shared" si="5"/>
        <v>Not listed</v>
      </c>
      <c r="L7" s="8" t="str">
        <f t="shared" si="6"/>
        <v>allow</v>
      </c>
      <c r="M7" s="8" t="str">
        <f t="shared" si="7"/>
        <v>Not allow</v>
      </c>
      <c r="N7" s="8" t="str">
        <f t="shared" si="8"/>
        <v>Allow</v>
      </c>
      <c r="O7" s="8" t="str">
        <f t="shared" si="9"/>
        <v>C</v>
      </c>
      <c r="P7" s="8" t="str">
        <f t="shared" si="10"/>
        <v>E</v>
      </c>
      <c r="Q7" s="8" t="str">
        <f t="shared" si="11"/>
        <v>dnt</v>
      </c>
    </row>
    <row r="8" spans="1:17">
      <c r="A8" s="5" t="s">
        <v>25</v>
      </c>
      <c r="B8" s="6">
        <v>67</v>
      </c>
      <c r="C8" s="6">
        <v>90</v>
      </c>
      <c r="D8" s="5" t="s">
        <v>18</v>
      </c>
      <c r="E8" s="5" t="s">
        <v>21</v>
      </c>
      <c r="F8" s="7" t="str">
        <f t="shared" si="0"/>
        <v>dn</v>
      </c>
      <c r="G8" s="7" t="str">
        <f t="shared" si="1"/>
        <v>Pass</v>
      </c>
      <c r="H8" s="8" t="str">
        <f t="shared" si="2"/>
        <v>DNT</v>
      </c>
      <c r="I8" s="8" t="str">
        <f t="shared" si="3"/>
        <v>ALLOW</v>
      </c>
      <c r="J8" s="8" t="str">
        <f t="shared" si="4"/>
        <v>not listed</v>
      </c>
      <c r="K8" s="8" t="str">
        <f t="shared" si="5"/>
        <v>Good</v>
      </c>
      <c r="L8" s="8" t="str">
        <f t="shared" si="6"/>
        <v>allow</v>
      </c>
      <c r="M8" s="8" t="str">
        <f t="shared" si="7"/>
        <v>Allow</v>
      </c>
      <c r="N8" s="8" t="str">
        <f t="shared" si="8"/>
        <v>Not allow</v>
      </c>
      <c r="O8" s="8" t="str">
        <f t="shared" si="9"/>
        <v>C</v>
      </c>
      <c r="P8" s="8" t="str">
        <f t="shared" si="10"/>
        <v>D</v>
      </c>
      <c r="Q8" s="8" t="str">
        <f t="shared" si="11"/>
        <v>dnt</v>
      </c>
    </row>
    <row r="9" spans="1:17">
      <c r="A9" s="5" t="s">
        <v>26</v>
      </c>
      <c r="B9" s="6">
        <v>28</v>
      </c>
      <c r="C9" s="6">
        <v>55</v>
      </c>
      <c r="D9" s="5" t="s">
        <v>21</v>
      </c>
      <c r="E9" s="5" t="s">
        <v>21</v>
      </c>
      <c r="F9" s="7" t="str">
        <f t="shared" si="0"/>
        <v>dn</v>
      </c>
      <c r="G9" s="7" t="str">
        <f t="shared" si="1"/>
        <v>fail</v>
      </c>
      <c r="H9" s="8" t="str">
        <f t="shared" si="2"/>
        <v>DNT</v>
      </c>
      <c r="I9" s="8" t="str">
        <f t="shared" si="3"/>
        <v>DNT</v>
      </c>
      <c r="J9" s="8" t="str">
        <f t="shared" si="4"/>
        <v>not listed</v>
      </c>
      <c r="K9" s="8" t="str">
        <f t="shared" si="5"/>
        <v>Not listed</v>
      </c>
      <c r="L9" s="8" t="str">
        <f t="shared" si="6"/>
        <v>allow</v>
      </c>
      <c r="M9" s="8" t="str">
        <f t="shared" si="7"/>
        <v>Not allow</v>
      </c>
      <c r="N9" s="8" t="str">
        <f t="shared" si="8"/>
        <v>Allow</v>
      </c>
      <c r="O9" s="8" t="str">
        <f t="shared" si="9"/>
        <v>C</v>
      </c>
      <c r="P9" s="8" t="str">
        <f t="shared" si="10"/>
        <v>FAIL</v>
      </c>
      <c r="Q9" s="8" t="str">
        <f t="shared" si="11"/>
        <v>dnt</v>
      </c>
    </row>
    <row r="10" spans="1:17">
      <c r="A10" s="5" t="s">
        <v>27</v>
      </c>
      <c r="B10" s="6">
        <v>76</v>
      </c>
      <c r="C10" s="6">
        <v>75</v>
      </c>
      <c r="D10" s="5" t="s">
        <v>18</v>
      </c>
      <c r="E10" s="5" t="s">
        <v>18</v>
      </c>
      <c r="F10" s="7" t="str">
        <f t="shared" si="0"/>
        <v>dn</v>
      </c>
      <c r="G10" s="7" t="str">
        <f t="shared" si="1"/>
        <v>fail</v>
      </c>
      <c r="H10" s="8" t="str">
        <f t="shared" si="2"/>
        <v>ALLOW</v>
      </c>
      <c r="I10" s="8" t="str">
        <f t="shared" si="3"/>
        <v>ALLOW</v>
      </c>
      <c r="J10" s="8" t="str">
        <f t="shared" si="4"/>
        <v>not listed</v>
      </c>
      <c r="K10" s="8" t="str">
        <f t="shared" si="5"/>
        <v>Not listed</v>
      </c>
      <c r="L10" s="8" t="str">
        <f t="shared" si="6"/>
        <v>allow</v>
      </c>
      <c r="M10" s="8" t="str">
        <f t="shared" si="7"/>
        <v>Allow</v>
      </c>
      <c r="N10" s="8" t="str">
        <f t="shared" si="8"/>
        <v>Not allow</v>
      </c>
      <c r="O10" s="8" t="str">
        <f t="shared" si="9"/>
        <v>C</v>
      </c>
      <c r="P10" s="8" t="str">
        <f t="shared" si="10"/>
        <v>C</v>
      </c>
      <c r="Q10" s="8" t="str">
        <f t="shared" si="11"/>
        <v>allow</v>
      </c>
    </row>
    <row r="11" spans="1:17">
      <c r="A11" s="5" t="s">
        <v>28</v>
      </c>
      <c r="B11" s="6">
        <v>49</v>
      </c>
      <c r="C11" s="6">
        <v>85</v>
      </c>
      <c r="D11" s="5" t="s">
        <v>18</v>
      </c>
      <c r="E11" s="5" t="s">
        <v>18</v>
      </c>
      <c r="F11" s="7" t="str">
        <f t="shared" si="0"/>
        <v>dn</v>
      </c>
      <c r="G11" s="7" t="str">
        <f t="shared" si="1"/>
        <v>fail</v>
      </c>
      <c r="H11" s="8" t="str">
        <f t="shared" si="2"/>
        <v>ALLOW</v>
      </c>
      <c r="I11" s="8" t="str">
        <f t="shared" si="3"/>
        <v>ALLOW</v>
      </c>
      <c r="J11" s="8" t="str">
        <f t="shared" si="4"/>
        <v>not listed</v>
      </c>
      <c r="K11" s="8" t="str">
        <f t="shared" si="5"/>
        <v>Not listed</v>
      </c>
      <c r="L11" s="8" t="str">
        <f t="shared" si="6"/>
        <v>allow</v>
      </c>
      <c r="M11" s="8" t="str">
        <f t="shared" si="7"/>
        <v>Allow</v>
      </c>
      <c r="N11" s="8" t="str">
        <f t="shared" si="8"/>
        <v>Not allow</v>
      </c>
      <c r="O11" s="8" t="str">
        <f t="shared" si="9"/>
        <v>C</v>
      </c>
      <c r="P11" s="8" t="str">
        <f t="shared" si="10"/>
        <v>FAIL</v>
      </c>
      <c r="Q11" s="8" t="str">
        <f t="shared" si="11"/>
        <v>allow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Nilesh Harale</cp:lastModifiedBy>
  <dcterms:created xsi:type="dcterms:W3CDTF">2026-09-21T03:10:00Z</dcterms:created>
  <dcterms:modified xsi:type="dcterms:W3CDTF">2026-09-25T15:47:51Z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D0A46E7A778E4C31B819861CA6D57F09_13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